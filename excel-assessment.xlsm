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MAPUP\MapUp-DA-Assessment-2024-main\"/>
    </mc:Choice>
  </mc:AlternateContent>
  <xr:revisionPtr revIDLastSave="0" documentId="13_ncr:1_{CF26EA13-09B3-4D97-A02F-78CA3903A6C5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3" i="1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<sst xmlns="http://schemas.openxmlformats.org/spreadsheetml/2006/main" count="411" uniqueCount="188">
  <si>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</si>
  <si>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</si>
  <si>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</si>
  <si>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</si>
  <si>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</si>
  <si>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</si>
  <si>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</si>
  <si>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</si>
  <si>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</si>
  <si>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</si>
  <si>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</si>
  <si>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</si>
  <si>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</si>
  <si>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</si>
  <si>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</si>
  <si>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</si>
  <si>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</si>
  <si>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</si>
  <si>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</si>
  <si>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</si>
  <si>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</si>
  <si>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</si>
  <si>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</si>
  <si>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</si>
  <si>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</si>
  <si>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</si>
  <si>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</si>
  <si>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</si>
  <si>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</si>
  <si>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</si>
  <si>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</si>
  <si>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</si>
  <si>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</si>
  <si>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</si>
  <si>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</si>
  <si>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</si>
  <si>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</si>
  <si>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</si>
  <si>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</si>
  <si>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</si>
  <si>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</si>
  <si>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</si>
  <si>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</si>
  <si>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</si>
  <si>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</si>
  <si>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</si>
  <si>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</si>
  <si>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</si>
  <si>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</si>
  <si>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</si>
  <si>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</si>
  <si>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</si>
  <si>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</si>
  <si>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</si>
  <si>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</si>
  <si>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</si>
  <si>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</si>
  <si>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</si>
  <si>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</si>
  <si>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</si>
  <si>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</si>
  <si>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</si>
  <si>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</si>
  <si>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</si>
  <si>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</si>
  <si>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</si>
  <si>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</si>
  <si>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</si>
  <si>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</si>
  <si>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</si>
  <si>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</si>
  <si>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</si>
  <si>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</si>
  <si>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</si>
  <si>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</si>
  <si>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</si>
  <si>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</si>
  <si>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</si>
  <si>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</si>
  <si>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</si>
  <si>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</si>
  <si>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</si>
  <si>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</si>
  <si>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</si>
  <si>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</si>
  <si>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</si>
  <si>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</si>
  <si>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</si>
  <si>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</si>
  <si>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</si>
  <si>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</si>
  <si>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</si>
  <si>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</si>
  <si>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</si>
  <si>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</si>
  <si>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</si>
  <si>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</si>
  <si>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</si>
  <si>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</si>
  <si>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</si>
  <si>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</si>
  <si>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</si>
  <si>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</si>
  <si>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</si>
  <si>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</si>
  <si>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</si>
  <si>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</si>
  <si>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</si>
  <si>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</si>
  <si>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</si>
  <si>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</si>
  <si>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</si>
  <si>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</si>
  <si>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</si>
  <si>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</si>
  <si>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</si>
  <si>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</si>
  <si>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</si>
  <si>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</si>
  <si>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</si>
  <si>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</si>
  <si>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</si>
  <si>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</si>
  <si>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</si>
  <si>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</si>
  <si>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</si>
  <si>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</si>
  <si>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</si>
  <si>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</si>
  <si>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</si>
  <si>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</si>
  <si>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</si>
  <si>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</si>
  <si>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</si>
  <si>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</si>
  <si>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</si>
  <si>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</si>
  <si>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</si>
  <si>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</si>
  <si>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</si>
  <si>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</si>
  <si>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</si>
  <si>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</si>
  <si>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</si>
  <si>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</si>
  <si>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</si>
  <si>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</si>
  <si>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</si>
  <si>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</si>
  <si>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</si>
  <si>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</si>
  <si>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</si>
  <si>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</si>
  <si>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</si>
  <si>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</si>
  <si>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</si>
  <si>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</si>
  <si>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</si>
  <si>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</si>
  <si>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</si>
  <si>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</si>
  <si>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</si>
  <si>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</si>
  <si>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</si>
  <si>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</si>
  <si>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</si>
  <si>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</si>
  <si>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</si>
  <si>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</si>
  <si>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</si>
  <si>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</si>
  <si>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</si>
  <si>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</si>
  <si>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</si>
  <si>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</si>
  <si>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</si>
  <si>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</si>
  <si>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Please paste formula used here =SUMIF(H2:H40, "&gt;20")</t>
  </si>
  <si>
    <t>Text to columns built in functionality which splits the string</t>
  </si>
  <si>
    <t>This functionality allows easy way to separate values in a single cell into a multiple using based on specific delimiter, this method is quick and easy way to split ,alternate we can left, right function but it is complicated, so we can use this.</t>
  </si>
  <si>
    <t xml:space="preserve">Find and Replace </t>
  </si>
  <si>
    <t>This functionality is a quick way to replace specific values across data without need of writing formula, This is the simplest way to clean data before performing any calculation, after replaced N/A , simply we can sum up the values.</t>
  </si>
  <si>
    <t>VLOOKUP,MATCH,INDEX,IFERROR</t>
  </si>
  <si>
    <t>VLOOKUP : Retrieves names from Table B based on IDs in Table C</t>
  </si>
  <si>
    <t>MATCH : Finds the row and column indices of these names in Table A</t>
  </si>
  <si>
    <t>INDEX : Fetches the corresponding value from Table A at the specified row and column</t>
  </si>
  <si>
    <t>IFERROR : If any errors occurs,it returns N/A instead of error message</t>
  </si>
  <si>
    <t>Formula = IFERROR(INDEX($A$10:$J$18, MATCH(VLOOKUP(A23, $M$10:$N$18, 2, FALSE), $A$10:$A$18, 0), MATCH(VLOOKUP(B23, $M$10:$N$18, 2, FALSE), $A$9:$J$9, 0)), "N/A")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</si>
</sst>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 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0" xfId="0" applyNumberFormat="1" applyFont="1"/>
    <xf numFmtId="167" fontId="7" fillId="0" borderId="0" xfId="0" applyNumberFormat="1" applyFont="1"/>
    <xf numFmtId="167" fontId="3" fillId="0" borderId="0" xfId="0" applyNumberFormat="1" applyFont="1"/>
    <xf numFmtId="2" fontId="3" fillId="0" borderId="7" xfId="0" applyNumberFormat="1" applyFont="1" applyBorder="1"/>
    <xf numFmtId="2" fontId="3" fillId="0" borderId="3" xfId="0" applyNumberFormat="1" applyFont="1" applyBorder="1"/>
    <xf numFmtId="0" fontId="8" fillId="0" borderId="8" xfId="0" applyFont="1" applyBorder="1"/>
    <xf numFmtId="0" fontId="18" fillId="0" borderId="0" xfId="0" applyFont="1"/>
    <xf numFmtId="0" fontId="3" fillId="0" borderId="0" xfId="0" applyFont="1" applyAlignment="1">
      <alignment horizontal="left" vertical="center" indent="1"/>
    </xf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7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4" t="s">
        <v>170</v>
      </c>
      <c r="B9" s="25" t="s">
        <v>168</v>
      </c>
    </row>
    <row r="10" spans="1:3">
      <c r="A10" s="33" t="s">
        <v>171</v>
      </c>
      <c r="B10" s="35">
        <v>25</v>
      </c>
    </row>
    <row r="11" spans="1:3">
      <c r="A11" s="33" t="s">
        <v>55</v>
      </c>
      <c r="B11" s="35">
        <v>30</v>
      </c>
    </row>
    <row r="12" spans="1:3">
      <c r="A12" s="33" t="s">
        <v>56</v>
      </c>
      <c r="B12" s="35">
        <v>10</v>
      </c>
    </row>
    <row r="13" spans="1:3">
      <c r="A13" s="33" t="s">
        <v>85</v>
      </c>
      <c r="B13" s="35">
        <v>20</v>
      </c>
    </row>
    <row r="14" spans="1:3">
      <c r="A14" s="33" t="s">
        <v>98</v>
      </c>
      <c r="B14" s="35">
        <v>40</v>
      </c>
    </row>
    <row r="15" spans="1: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opLeftCell="O1" zoomScaleNormal="100" workbookViewId="0">
      <pane ySplit="1" topLeftCell="A14" activePane="bottomLeft" state="frozen"/>
      <selection pane="bottomLeft" activeCell="G6" sqref="G6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1.5" style="23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43">
        <v>2.7</v>
      </c>
      <c r="H2" s="43">
        <v>3.6</v>
      </c>
      <c r="I2" s="43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43">
        <v>2.7</v>
      </c>
      <c r="H3" s="43">
        <v>3.6</v>
      </c>
      <c r="I3" s="43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43">
        <v>3.6</v>
      </c>
      <c r="H4" s="43">
        <v>5.4</v>
      </c>
      <c r="I4" s="43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43">
        <v>4.9000000000000004</v>
      </c>
      <c r="H5" s="43">
        <v>6.6</v>
      </c>
      <c r="I5" s="43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43">
        <v>6.6</v>
      </c>
      <c r="H6" s="43">
        <v>8.8000000000000007</v>
      </c>
      <c r="I6" s="43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43">
        <v>7.1</v>
      </c>
      <c r="H7" s="43">
        <v>10.4</v>
      </c>
      <c r="I7" s="43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43">
        <v>9.4</v>
      </c>
      <c r="H8" s="43">
        <v>13.8</v>
      </c>
      <c r="I8" s="43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43">
        <v>11.6</v>
      </c>
      <c r="H9" s="43">
        <v>17.3</v>
      </c>
      <c r="I9" s="43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43">
        <v>16.100000000000001</v>
      </c>
      <c r="H10" s="43">
        <v>24.1</v>
      </c>
      <c r="I10" s="43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43">
        <v>18.399999999999999</v>
      </c>
      <c r="H11" s="43">
        <v>27.5</v>
      </c>
      <c r="I11" s="43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3">
        <v>0</v>
      </c>
      <c r="H12" s="43">
        <v>0</v>
      </c>
      <c r="I12" s="43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43">
        <v>21.9</v>
      </c>
      <c r="H13" s="43">
        <v>32.1</v>
      </c>
      <c r="I13" s="43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43">
        <v>23.5</v>
      </c>
      <c r="H14" s="43">
        <v>34.700000000000003</v>
      </c>
      <c r="I14" s="43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43">
        <v>26.8</v>
      </c>
      <c r="H15" s="43">
        <v>39.299999999999997</v>
      </c>
      <c r="I15" s="43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43">
        <v>28</v>
      </c>
      <c r="H16" s="43">
        <v>41</v>
      </c>
      <c r="I16" s="43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43">
        <v>28.5</v>
      </c>
      <c r="H17" s="43">
        <v>42.3</v>
      </c>
      <c r="I17" s="43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43">
        <v>29.1</v>
      </c>
      <c r="H18" s="43">
        <v>43.3</v>
      </c>
      <c r="I18" s="43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43">
        <v>30.7</v>
      </c>
      <c r="H19" s="43">
        <v>45.5</v>
      </c>
      <c r="I19" s="43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43">
        <v>33.799999999999997</v>
      </c>
      <c r="H20" s="43">
        <v>50.1</v>
      </c>
      <c r="I20" s="43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43">
        <v>34.700000000000003</v>
      </c>
      <c r="H21" s="43">
        <v>52.3</v>
      </c>
      <c r="I21" s="43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43">
        <v>36.5</v>
      </c>
      <c r="H22" s="43">
        <v>54.6</v>
      </c>
      <c r="I22" s="43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43">
        <v>38</v>
      </c>
      <c r="H23" s="43">
        <v>57.2</v>
      </c>
      <c r="I23" s="43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43">
        <v>38.700000000000003</v>
      </c>
      <c r="H24" s="43">
        <v>59.2</v>
      </c>
      <c r="I24" s="43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43">
        <v>40.1</v>
      </c>
      <c r="H25" s="43">
        <v>59.2</v>
      </c>
      <c r="I25" s="43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3">
        <v>0</v>
      </c>
      <c r="H26" s="43">
        <v>0</v>
      </c>
      <c r="I26" s="43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43">
        <v>41.3</v>
      </c>
      <c r="H27" s="43">
        <v>61.4</v>
      </c>
      <c r="I27" s="43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43">
        <v>42.3</v>
      </c>
      <c r="H28" s="43">
        <v>61.4</v>
      </c>
      <c r="I28" s="43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43">
        <v>43.3</v>
      </c>
      <c r="H29" s="43">
        <v>63.6</v>
      </c>
      <c r="I29" s="43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3">
        <v>-1</v>
      </c>
      <c r="H30" s="43">
        <v>-1</v>
      </c>
      <c r="I30" s="43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43">
        <v>45</v>
      </c>
      <c r="H31" s="43">
        <v>65.900000000000006</v>
      </c>
      <c r="I31" s="43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3">
        <v>-1</v>
      </c>
      <c r="H32" s="43">
        <v>-1</v>
      </c>
      <c r="I32" s="43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43">
        <v>41.5</v>
      </c>
      <c r="H33" s="43">
        <v>61.4</v>
      </c>
      <c r="I33" s="43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43">
        <v>43.3</v>
      </c>
      <c r="H34" s="43">
        <v>63.6</v>
      </c>
      <c r="I34" s="43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43">
        <v>44.5</v>
      </c>
      <c r="H35" s="43">
        <v>65.900000000000006</v>
      </c>
      <c r="I35" s="43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43">
        <v>47.3</v>
      </c>
      <c r="H36" s="43">
        <v>70.400000000000006</v>
      </c>
      <c r="I36" s="43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43">
        <v>48.3</v>
      </c>
      <c r="H37" s="43">
        <v>72</v>
      </c>
      <c r="I37" s="43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43">
        <v>49.1</v>
      </c>
      <c r="H38" s="43">
        <v>72.8</v>
      </c>
      <c r="I38" s="43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43">
        <v>50.6</v>
      </c>
      <c r="H39" s="43">
        <v>75</v>
      </c>
      <c r="I39" s="43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43">
        <v>51.8</v>
      </c>
      <c r="H40" s="43">
        <v>77.2</v>
      </c>
      <c r="I40" s="43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3" spans="1:24">
      <c r="H43" s="1">
        <f>SUMIF(H2:H40, "&gt;20")</f>
        <v>1473.0000000000002</v>
      </c>
    </row>
  </sheetData>
  <conditionalFormatting sqref="A1:XFD1048576">
    <cfRule type="cellIs" dxfId="2" priority="2" operator="equal">
      <formula>-1</formula>
    </cfRule>
  </conditionalFormatting>
  <conditionalFormatting sqref="G1:W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2" t="s">
        <v>177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5" zoomScaleNormal="100" workbookViewId="0">
      <selection activeCell="F30" sqref="F30"/>
    </sheetView>
  </sheetViews>
  <sheetFormatPr defaultColWidth="11" defaultRowHeight="12.7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>
      <c r="A1" s="40" t="s">
        <v>55</v>
      </c>
      <c r="B1" s="39" t="s">
        <v>163</v>
      </c>
    </row>
    <row r="2" spans="1:7" s="39" customFormat="1" ht="21">
      <c r="B2" s="39" t="s">
        <v>160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7" t="s">
        <v>161</v>
      </c>
      <c r="B4" s="1"/>
      <c r="C4" s="1"/>
      <c r="D4" s="1"/>
      <c r="E4" s="1"/>
      <c r="F4" s="1"/>
      <c r="G4" s="1"/>
    </row>
    <row r="5" spans="1:7" ht="1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>
      <c r="A6" s="7" t="s">
        <v>40</v>
      </c>
      <c r="B6" s="46">
        <f>IFERROR(VLOOKUP(A6, Dataset!A:X, 7, FALSE), "")</f>
        <v>2.7</v>
      </c>
      <c r="C6" s="46">
        <f>IFERROR(VLOOKUP(A6, Dataset!A:X, 14, FALSE), "")</f>
        <v>7.6</v>
      </c>
      <c r="D6" s="46">
        <f>IFERROR(VLOOKUP(A6, Dataset!A:X, 18, FALSE), "")</f>
        <v>4.2</v>
      </c>
      <c r="E6" s="46">
        <f>IFERROR(VLOOKUP(A6, Dataset!A:X, 20, FALSE), "")</f>
        <v>8.9</v>
      </c>
      <c r="F6" s="47">
        <f>IFERROR(VLOOKUP(A6, Dataset!A:X, 22, FALSE), "")</f>
        <v>4.2</v>
      </c>
    </row>
    <row r="7" spans="1:7" ht="15">
      <c r="A7" s="7" t="s">
        <v>4</v>
      </c>
      <c r="B7" s="46">
        <f>IFERROR(VLOOKUP(A7, Dataset!A:X, 7, FALSE), "")</f>
        <v>2.7</v>
      </c>
      <c r="C7" s="46">
        <f>IFERROR(VLOOKUP(A7, Dataset!A:X, 14, FALSE), "")</f>
        <v>7.6</v>
      </c>
      <c r="D7" s="46">
        <f>IFERROR(VLOOKUP(A7, Dataset!A:X, 18, FALSE), "")</f>
        <v>4.2</v>
      </c>
      <c r="E7" s="46">
        <f>IFERROR(VLOOKUP(A7, Dataset!A:X, 20, FALSE), "")</f>
        <v>8.9</v>
      </c>
      <c r="F7" s="47">
        <f>IFERROR(VLOOKUP(A7, Dataset!A:X, 22, FALSE), "")</f>
        <v>4.2</v>
      </c>
    </row>
    <row r="8" spans="1:7" ht="15">
      <c r="A8" s="7" t="s">
        <v>7</v>
      </c>
      <c r="B8" s="46">
        <f>IFERROR(VLOOKUP(A8, Dataset!A:X, 7, FALSE), "")</f>
        <v>3.6</v>
      </c>
      <c r="C8" s="46">
        <f>IFERROR(VLOOKUP(A8, Dataset!A:X, 14, FALSE), "")</f>
        <v>11.1</v>
      </c>
      <c r="D8" s="46">
        <f>IFERROR(VLOOKUP(A8, Dataset!A:X, 18, FALSE), "")</f>
        <v>5.8</v>
      </c>
      <c r="E8" s="46">
        <f>IFERROR(VLOOKUP(A8, Dataset!A:X, 20, FALSE), "")</f>
        <v>12.2</v>
      </c>
      <c r="F8" s="47">
        <f>IFERROR(VLOOKUP(A8, Dataset!A:X, 22, FALSE), "")</f>
        <v>5.8</v>
      </c>
    </row>
    <row r="9" spans="1:7" ht="15">
      <c r="A9" s="7" t="s">
        <v>8</v>
      </c>
      <c r="B9" s="46">
        <f>IFERROR(VLOOKUP(A9, Dataset!A:X, 7, FALSE), "")</f>
        <v>4.9000000000000004</v>
      </c>
      <c r="C9" s="46">
        <f>IFERROR(VLOOKUP(A9, Dataset!A:X, 14, FALSE), "")</f>
        <v>13.3</v>
      </c>
      <c r="D9" s="46">
        <f>IFERROR(VLOOKUP(A9, Dataset!A:X, 18, FALSE), "")</f>
        <v>8.1</v>
      </c>
      <c r="E9" s="46">
        <f>IFERROR(VLOOKUP(A9, Dataset!A:X, 20, FALSE), "")</f>
        <v>17</v>
      </c>
      <c r="F9" s="47">
        <f>IFERROR(VLOOKUP(A9, Dataset!A:X, 22, FALSE), "")</f>
        <v>8.1</v>
      </c>
    </row>
    <row r="10" spans="1:7" ht="15">
      <c r="A10" s="7" t="s">
        <v>11</v>
      </c>
      <c r="B10" s="46">
        <f>IFERROR(VLOOKUP(A10, Dataset!A:X, 7, FALSE), "")</f>
        <v>9.4</v>
      </c>
      <c r="C10" s="46">
        <f>IFERROR(VLOOKUP(A10, Dataset!A:X, 14, FALSE), "")</f>
        <v>28.3</v>
      </c>
      <c r="D10" s="46">
        <f>IFERROR(VLOOKUP(A10, Dataset!A:X, 18, FALSE), "")</f>
        <v>16.100000000000001</v>
      </c>
      <c r="E10" s="46">
        <f>IFERROR(VLOOKUP(A10, Dataset!A:X, 20, FALSE), "")</f>
        <v>32.799999999999997</v>
      </c>
      <c r="F10" s="47">
        <f>IFERROR(VLOOKUP(A10, Dataset!A:X, 22, FALSE), "")</f>
        <v>16.100000000000001</v>
      </c>
    </row>
    <row r="11" spans="1:7" ht="15">
      <c r="A11" s="7" t="s">
        <v>12</v>
      </c>
      <c r="B11" s="46">
        <f>IFERROR(VLOOKUP(A11, Dataset!A:X, 7, FALSE), "")</f>
        <v>11.6</v>
      </c>
      <c r="C11" s="46">
        <f>IFERROR(VLOOKUP(A11, Dataset!A:X, 14, FALSE), "")</f>
        <v>35.200000000000003</v>
      </c>
      <c r="D11" s="46">
        <f>IFERROR(VLOOKUP(A11, Dataset!A:X, 18, FALSE), "")</f>
        <v>21.3</v>
      </c>
      <c r="E11" s="46">
        <f>IFERROR(VLOOKUP(A11, Dataset!A:X, 20, FALSE), "")</f>
        <v>43</v>
      </c>
      <c r="F11" s="47">
        <f>IFERROR(VLOOKUP(A11, Dataset!A:X, 22, FALSE), "")</f>
        <v>21.3</v>
      </c>
    </row>
    <row r="12" spans="1:7" ht="15">
      <c r="A12" s="7" t="s">
        <v>14</v>
      </c>
      <c r="B12" s="46">
        <f>IFERROR(VLOOKUP(A12, Dataset!A:X, 7, FALSE), "")</f>
        <v>18.399999999999999</v>
      </c>
      <c r="C12" s="46">
        <f>IFERROR(VLOOKUP(A12, Dataset!A:X, 14, FALSE), "")</f>
        <v>55.6</v>
      </c>
      <c r="D12" s="46">
        <f>IFERROR(VLOOKUP(A12, Dataset!A:X, 18, FALSE), "")</f>
        <v>33.799999999999997</v>
      </c>
      <c r="E12" s="46">
        <f>IFERROR(VLOOKUP(A12, Dataset!A:X, 20, FALSE), "")</f>
        <v>67.900000000000006</v>
      </c>
      <c r="F12" s="47">
        <f>IFERROR(VLOOKUP(A12, Dataset!A:X, 22, FALSE), "")</f>
        <v>33.799999999999997</v>
      </c>
    </row>
    <row r="13" spans="1:7" ht="15">
      <c r="A13" s="7" t="s">
        <v>15</v>
      </c>
      <c r="B13" s="46">
        <f>IFERROR(VLOOKUP(A13, Dataset!A:X, 7, FALSE), "")</f>
        <v>0</v>
      </c>
      <c r="C13" s="46">
        <f>IFERROR(VLOOKUP(A13, Dataset!A:X, 14, FALSE), "")</f>
        <v>0</v>
      </c>
      <c r="D13" s="46">
        <f>IFERROR(VLOOKUP(A13, Dataset!A:X, 18, FALSE), "")</f>
        <v>0</v>
      </c>
      <c r="E13" s="46">
        <f>IFERROR(VLOOKUP(A13, Dataset!A:X, 20, FALSE), "")</f>
        <v>0</v>
      </c>
      <c r="F13" s="47">
        <f>IFERROR(VLOOKUP(A13, Dataset!A:X, 22, FALSE), "")</f>
        <v>0</v>
      </c>
    </row>
    <row r="14" spans="1:7" ht="15">
      <c r="A14" s="7" t="s">
        <v>16</v>
      </c>
      <c r="B14" s="46">
        <f>IFERROR(VLOOKUP(A14, Dataset!A:X, 7, FALSE), "")</f>
        <v>21.9</v>
      </c>
      <c r="C14" s="46">
        <f>IFERROR(VLOOKUP(A14, Dataset!A:X, 14, FALSE), "")</f>
        <v>61.5</v>
      </c>
      <c r="D14" s="46">
        <f>IFERROR(VLOOKUP(A14, Dataset!A:X, 18, FALSE), "")</f>
        <v>40.1</v>
      </c>
      <c r="E14" s="46">
        <f>IFERROR(VLOOKUP(A14, Dataset!A:X, 20, FALSE), "")</f>
        <v>76.599999999999994</v>
      </c>
      <c r="F14" s="47">
        <f>IFERROR(VLOOKUP(A14, Dataset!A:X, 22, FALSE), "")</f>
        <v>40.1</v>
      </c>
    </row>
    <row r="15" spans="1:7" ht="15">
      <c r="A15" s="7" t="s">
        <v>18</v>
      </c>
      <c r="B15" s="46">
        <f>IFERROR(VLOOKUP(A15, Dataset!A:X, 7, FALSE), "")</f>
        <v>26.8</v>
      </c>
      <c r="C15" s="46">
        <f>IFERROR(VLOOKUP(A15, Dataset!A:X, 14, FALSE), "")</f>
        <v>79.599999999999994</v>
      </c>
      <c r="D15" s="46">
        <f>IFERROR(VLOOKUP(A15, Dataset!A:X, 18, FALSE), "")</f>
        <v>47.9</v>
      </c>
      <c r="E15" s="46">
        <f>IFERROR(VLOOKUP(A15, Dataset!A:X, 20, FALSE), "")</f>
        <v>96.8</v>
      </c>
      <c r="F15" s="47">
        <f>IFERROR(VLOOKUP(A15, Dataset!A:X, 22, FALSE), "")</f>
        <v>47.9</v>
      </c>
    </row>
    <row r="16" spans="1:7" ht="15">
      <c r="A16" s="7" t="s">
        <v>20</v>
      </c>
      <c r="B16" s="46">
        <f>IFERROR(VLOOKUP(A16, Dataset!A:X, 7, FALSE), "")</f>
        <v>28.5</v>
      </c>
      <c r="C16" s="46">
        <f>IFERROR(VLOOKUP(A16, Dataset!A:X, 14, FALSE), "")</f>
        <v>85.4</v>
      </c>
      <c r="D16" s="46">
        <f>IFERROR(VLOOKUP(A16, Dataset!A:X, 18, FALSE), "")</f>
        <v>52.3</v>
      </c>
      <c r="E16" s="46">
        <f>IFERROR(VLOOKUP(A16, Dataset!A:X, 20, FALSE), "")</f>
        <v>106.1</v>
      </c>
      <c r="F16" s="47">
        <f>IFERROR(VLOOKUP(A16, Dataset!A:X, 22, FALSE), "")</f>
        <v>52.3</v>
      </c>
    </row>
    <row r="17" spans="1:6" ht="15">
      <c r="A17" s="7" t="s">
        <v>22</v>
      </c>
      <c r="B17" s="46">
        <f>IFERROR(VLOOKUP(A17, Dataset!A:X, 7, FALSE), "")</f>
        <v>30.7</v>
      </c>
      <c r="C17" s="46">
        <f>IFERROR(VLOOKUP(A17, Dataset!A:X, 14, FALSE), "")</f>
        <v>92.1</v>
      </c>
      <c r="D17" s="46">
        <f>IFERROR(VLOOKUP(A17, Dataset!A:X, 18, FALSE), "")</f>
        <v>57</v>
      </c>
      <c r="E17" s="46">
        <f>IFERROR(VLOOKUP(A17, Dataset!A:X, 20, FALSE), "")</f>
        <v>115.1</v>
      </c>
      <c r="F17" s="47">
        <f>IFERROR(VLOOKUP(A17, Dataset!A:X, 22, FALSE), "")</f>
        <v>57</v>
      </c>
    </row>
    <row r="18" spans="1:6" ht="15">
      <c r="A18" s="7" t="s">
        <v>23</v>
      </c>
      <c r="B18" s="46">
        <f>IFERROR(VLOOKUP(A18, Dataset!A:X, 7, FALSE), "")</f>
        <v>33.799999999999997</v>
      </c>
      <c r="C18" s="46">
        <f>IFERROR(VLOOKUP(A18, Dataset!A:X, 14, FALSE), "")</f>
        <v>101.3</v>
      </c>
      <c r="D18" s="46">
        <f>IFERROR(VLOOKUP(A18, Dataset!A:X, 18, FALSE), "")</f>
        <v>61.4</v>
      </c>
      <c r="E18" s="46">
        <f>IFERROR(VLOOKUP(A18, Dataset!A:X, 20, FALSE), "")</f>
        <v>124.4</v>
      </c>
      <c r="F18" s="47">
        <f>IFERROR(VLOOKUP(A18, Dataset!A:X, 22, FALSE), "")</f>
        <v>61.4</v>
      </c>
    </row>
    <row r="19" spans="1:6" ht="15">
      <c r="A19" s="7" t="s">
        <v>24</v>
      </c>
      <c r="B19" s="46">
        <f>IFERROR(VLOOKUP(A19, Dataset!A:X, 7, FALSE), "")</f>
        <v>34.700000000000003</v>
      </c>
      <c r="C19" s="46">
        <f>IFERROR(VLOOKUP(A19, Dataset!A:X, 14, FALSE), "")</f>
        <v>106.1</v>
      </c>
      <c r="D19" s="46">
        <f>IFERROR(VLOOKUP(A19, Dataset!A:X, 18, FALSE), "")</f>
        <v>63.6</v>
      </c>
      <c r="E19" s="46">
        <f>IFERROR(VLOOKUP(A19, Dataset!A:X, 20, FALSE), "")</f>
        <v>128.6</v>
      </c>
      <c r="F19" s="47">
        <f>IFERROR(VLOOKUP(A19, Dataset!A:X, 22, FALSE), "")</f>
        <v>63.6</v>
      </c>
    </row>
    <row r="20" spans="1:6" ht="15">
      <c r="A20" s="7" t="s">
        <v>28</v>
      </c>
      <c r="B20" s="46">
        <f>IFERROR(VLOOKUP(A20, Dataset!A:X, 7, FALSE), "")</f>
        <v>0</v>
      </c>
      <c r="C20" s="46">
        <f>IFERROR(VLOOKUP(A20, Dataset!A:X, 14, FALSE), "")</f>
        <v>0</v>
      </c>
      <c r="D20" s="46">
        <f>IFERROR(VLOOKUP(A20, Dataset!A:X, 18, FALSE), "")</f>
        <v>0</v>
      </c>
      <c r="E20" s="46">
        <f>IFERROR(VLOOKUP(A20, Dataset!A:X, 20, FALSE), "")</f>
        <v>0</v>
      </c>
      <c r="F20" s="47">
        <f>IFERROR(VLOOKUP(A20, Dataset!A:X, 22, FALSE), "")</f>
        <v>0</v>
      </c>
    </row>
    <row r="21" spans="1:6" ht="15">
      <c r="A21" s="7" t="s">
        <v>57</v>
      </c>
      <c r="B21" s="46">
        <f>IFERROR(VLOOKUP(A21, Dataset!A:X, 7, FALSE), "")</f>
        <v>41.3</v>
      </c>
      <c r="C21" s="46">
        <f>IFERROR(VLOOKUP(A21, Dataset!A:X, 14, FALSE), "")</f>
        <v>124.4</v>
      </c>
      <c r="D21" s="46">
        <f>IFERROR(VLOOKUP(A21, Dataset!A:X, 18, FALSE), "")</f>
        <v>75</v>
      </c>
      <c r="E21" s="46">
        <f>IFERROR(VLOOKUP(A21, Dataset!A:X, 20, FALSE), "")</f>
        <v>151.5</v>
      </c>
      <c r="F21" s="47">
        <f>IFERROR(VLOOKUP(A21, Dataset!A:X, 22, FALSE), "")</f>
        <v>75</v>
      </c>
    </row>
    <row r="22" spans="1:6" ht="15">
      <c r="A22" s="7" t="s">
        <v>58</v>
      </c>
      <c r="B22" s="46">
        <f>IFERROR(VLOOKUP(A22, Dataset!A:X, 7, FALSE), "")</f>
        <v>-1</v>
      </c>
      <c r="C22" s="46">
        <f>IFERROR(VLOOKUP(A22, Dataset!A:X, 14, FALSE), "")</f>
        <v>-1</v>
      </c>
      <c r="D22" s="46">
        <f>IFERROR(VLOOKUP(A22, Dataset!A:X, 18, FALSE), "")</f>
        <v>-1</v>
      </c>
      <c r="E22" s="46">
        <f>IFERROR(VLOOKUP(A22, Dataset!A:X, 20, FALSE), "")</f>
        <v>-1</v>
      </c>
      <c r="F22" s="47">
        <f>IFERROR(VLOOKUP(A22, Dataset!A:X, 22, FALSE), "")</f>
        <v>-1</v>
      </c>
    </row>
    <row r="23" spans="1:6" ht="15">
      <c r="A23" s="7" t="s">
        <v>31</v>
      </c>
      <c r="B23" s="46">
        <f>IFERROR(VLOOKUP(A23, Dataset!A:X, 7, FALSE), "")</f>
        <v>45</v>
      </c>
      <c r="C23" s="46">
        <f>IFERROR(VLOOKUP(A23, Dataset!A:X, 14, FALSE), "")</f>
        <v>133.4</v>
      </c>
      <c r="D23" s="46">
        <f>IFERROR(VLOOKUP(A23, Dataset!A:X, 18, FALSE), "")</f>
        <v>79.400000000000006</v>
      </c>
      <c r="E23" s="46">
        <f>IFERROR(VLOOKUP(A23, Dataset!A:X, 20, FALSE), "")</f>
        <v>160.9</v>
      </c>
      <c r="F23" s="47">
        <f>IFERROR(VLOOKUP(A23, Dataset!A:X, 22, FALSE), "")</f>
        <v>79.400000000000006</v>
      </c>
    </row>
    <row r="24" spans="1:6" ht="15">
      <c r="A24" s="7" t="s">
        <v>32</v>
      </c>
      <c r="B24" s="46">
        <f>IFERROR(VLOOKUP(A24, Dataset!A:X, 7, FALSE), "")</f>
        <v>-1</v>
      </c>
      <c r="C24" s="46">
        <f>IFERROR(VLOOKUP(A24, Dataset!A:X, 14, FALSE), "")</f>
        <v>-1</v>
      </c>
      <c r="D24" s="46">
        <f>IFERROR(VLOOKUP(A24, Dataset!A:X, 18, FALSE), "")</f>
        <v>-1</v>
      </c>
      <c r="E24" s="46">
        <f>IFERROR(VLOOKUP(A24, Dataset!A:X, 20, FALSE), "")</f>
        <v>-1</v>
      </c>
      <c r="F24" s="47">
        <f>IFERROR(VLOOKUP(A24, Dataset!A:X, 22, FALSE), "")</f>
        <v>-1</v>
      </c>
    </row>
    <row r="25" spans="1:6" ht="15">
      <c r="A25" s="7" t="s">
        <v>34</v>
      </c>
      <c r="B25" s="46">
        <f>IFERROR(VLOOKUP(A25, Dataset!A:X, 7, FALSE), "")</f>
        <v>43.3</v>
      </c>
      <c r="C25" s="46">
        <f>IFERROR(VLOOKUP(A25, Dataset!A:X, 14, FALSE), "")</f>
        <v>128.6</v>
      </c>
      <c r="D25" s="46">
        <f>IFERROR(VLOOKUP(A25, Dataset!A:X, 18, FALSE), "")</f>
        <v>79.400000000000006</v>
      </c>
      <c r="E25" s="46">
        <f>IFERROR(VLOOKUP(A25, Dataset!A:X, 20, FALSE), "")</f>
        <v>160.9</v>
      </c>
      <c r="F25" s="47">
        <f>IFERROR(VLOOKUP(A25, Dataset!A:X, 22, FALSE), "")</f>
        <v>79.400000000000006</v>
      </c>
    </row>
    <row r="26" spans="1:6" ht="15">
      <c r="A26" s="7" t="s">
        <v>37</v>
      </c>
      <c r="B26" s="46">
        <f>IFERROR(VLOOKUP(A26, Dataset!A:X, 7, FALSE), "")</f>
        <v>49.1</v>
      </c>
      <c r="C26" s="46">
        <f>IFERROR(VLOOKUP(A26, Dataset!A:X, 14, FALSE), "")</f>
        <v>146.80000000000001</v>
      </c>
      <c r="D26" s="46">
        <f>IFERROR(VLOOKUP(A26, Dataset!A:X, 18, FALSE), "")</f>
        <v>90.9</v>
      </c>
      <c r="E26" s="46">
        <f>IFERROR(VLOOKUP(A26, Dataset!A:X, 20, FALSE), "")</f>
        <v>183.5</v>
      </c>
      <c r="F26" s="47">
        <f>IFERROR(VLOOKUP(A26, Dataset!A:X, 22, FALSE), "")</f>
        <v>90.9</v>
      </c>
    </row>
    <row r="27" spans="1:6" ht="15">
      <c r="A27" s="7" t="s">
        <v>39</v>
      </c>
      <c r="B27" s="46">
        <f>IFERROR(VLOOKUP(A27, Dataset!A:X, 7, FALSE), "")</f>
        <v>51.8</v>
      </c>
      <c r="C27" s="46">
        <f>IFERROR(VLOOKUP(A27, Dataset!A:X, 14, FALSE), "")</f>
        <v>156.4</v>
      </c>
      <c r="D27" s="46">
        <f>IFERROR(VLOOKUP(A27, Dataset!A:X, 18, FALSE), "")</f>
        <v>93.1</v>
      </c>
      <c r="E27" s="46">
        <f>IFERROR(VLOOKUP(A27, Dataset!A:X, 20, FALSE), "")</f>
        <v>188.1</v>
      </c>
      <c r="F27" s="47">
        <f>IFERROR(VLOOKUP(A27, Dataset!A:X, 22, FALSE), "")</f>
        <v>93.1</v>
      </c>
    </row>
    <row r="28" spans="1:6" ht="15">
      <c r="A28" s="18" t="s">
        <v>82</v>
      </c>
      <c r="B28" s="46">
        <f>MIN(B6:B27)</f>
        <v>-1</v>
      </c>
      <c r="C28" s="46">
        <f t="shared" ref="C28:F28" si="0">MIN(C6:C27)</f>
        <v>-1</v>
      </c>
      <c r="D28" s="46">
        <f t="shared" si="0"/>
        <v>-1</v>
      </c>
      <c r="E28" s="46">
        <f t="shared" si="0"/>
        <v>-1</v>
      </c>
      <c r="F28" s="46">
        <f t="shared" si="0"/>
        <v>-1</v>
      </c>
    </row>
    <row r="29" spans="1:6" ht="15">
      <c r="A29" s="18" t="s">
        <v>83</v>
      </c>
      <c r="B29" s="46">
        <f>MAX(B6:B27)</f>
        <v>51.8</v>
      </c>
      <c r="C29" s="46">
        <f t="shared" ref="C29:F29" si="1">MAX(C6:C27)</f>
        <v>156.4</v>
      </c>
      <c r="D29" s="46">
        <f t="shared" si="1"/>
        <v>93.1</v>
      </c>
      <c r="E29" s="46">
        <f t="shared" si="1"/>
        <v>188.1</v>
      </c>
      <c r="F29" s="46">
        <f t="shared" si="1"/>
        <v>93.1</v>
      </c>
    </row>
    <row r="30" spans="1:6" ht="15">
      <c r="A30" s="18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  <ignoredErrors>
    <ignoredError sqref="B28:F2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0" zoomScaleNormal="100" workbookViewId="0">
      <selection activeCell="I17" sqref="I17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39" customFormat="1" ht="21">
      <c r="A1" s="40" t="s">
        <v>56</v>
      </c>
      <c r="B1" s="39" t="s">
        <v>173</v>
      </c>
    </row>
    <row r="2" spans="1:10" customFormat="1" ht="12.75"/>
    <row r="3" spans="1:10" s="2" customFormat="1">
      <c r="B3" s="1"/>
    </row>
    <row r="4" spans="1:10" s="2" customFormat="1">
      <c r="B4" s="1" t="s">
        <v>150</v>
      </c>
    </row>
    <row r="5" spans="1:10" ht="18.75">
      <c r="A5" s="41" t="s">
        <v>53</v>
      </c>
      <c r="B5" s="38" t="s">
        <v>178</v>
      </c>
    </row>
    <row r="6" spans="1:10" ht="18.75">
      <c r="A6" s="41" t="s">
        <v>152</v>
      </c>
      <c r="B6" s="38" t="s">
        <v>179</v>
      </c>
    </row>
    <row r="7" spans="1:10" ht="18.75">
      <c r="A7" s="41"/>
      <c r="B7" s="38"/>
    </row>
    <row r="9" spans="1:10" ht="23.25">
      <c r="A9" s="17" t="s">
        <v>164</v>
      </c>
      <c r="I9" s="2"/>
      <c r="J9" s="2"/>
    </row>
    <row r="10" spans="1:10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>
      <c r="A14" s="17" t="s">
        <v>161</v>
      </c>
    </row>
    <row r="15" spans="1:10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4" sqref="D14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0" t="s">
        <v>85</v>
      </c>
      <c r="B1" s="39" t="s">
        <v>166</v>
      </c>
    </row>
    <row r="2" spans="1:3" ht="18.75">
      <c r="B2" s="38" t="s">
        <v>165</v>
      </c>
    </row>
    <row r="5" spans="1:3" ht="15">
      <c r="B5" s="1" t="s">
        <v>150</v>
      </c>
    </row>
    <row r="6" spans="1:3" ht="15">
      <c r="A6" s="3" t="s">
        <v>53</v>
      </c>
      <c r="B6" s="1" t="s">
        <v>180</v>
      </c>
    </row>
    <row r="7" spans="1:3" ht="15">
      <c r="A7" s="3" t="s">
        <v>152</v>
      </c>
      <c r="B7" s="1" t="s">
        <v>181</v>
      </c>
    </row>
    <row r="10" spans="1:3" ht="23.25">
      <c r="A10" s="17" t="s">
        <v>161</v>
      </c>
    </row>
    <row r="11" spans="1:3" ht="15">
      <c r="A11" s="30" t="s">
        <v>86</v>
      </c>
      <c r="B11" s="16" t="s">
        <v>87</v>
      </c>
      <c r="C11" s="16" t="s">
        <v>88</v>
      </c>
    </row>
    <row r="12" spans="1:3" ht="15">
      <c r="A12" s="30">
        <v>44927</v>
      </c>
      <c r="B12" s="16" t="s">
        <v>59</v>
      </c>
      <c r="C12" s="16">
        <v>200</v>
      </c>
    </row>
    <row r="13" spans="1:3" ht="15">
      <c r="A13" s="30">
        <v>44928</v>
      </c>
      <c r="B13" s="16" t="s">
        <v>60</v>
      </c>
      <c r="C13" s="16">
        <v>20</v>
      </c>
    </row>
    <row r="14" spans="1:3" ht="15">
      <c r="A14" s="30">
        <v>44929</v>
      </c>
      <c r="B14" s="16" t="s">
        <v>61</v>
      </c>
      <c r="C14" s="16">
        <v>50</v>
      </c>
    </row>
    <row r="15" spans="1:3" ht="15">
      <c r="A15" s="30">
        <v>44930</v>
      </c>
      <c r="B15" s="16" t="s">
        <v>62</v>
      </c>
      <c r="C15" s="16">
        <v>20</v>
      </c>
    </row>
    <row r="16" spans="1:3" ht="15">
      <c r="A16" s="30">
        <v>44931</v>
      </c>
      <c r="B16" s="16" t="s">
        <v>63</v>
      </c>
      <c r="C16" s="16">
        <v>10</v>
      </c>
    </row>
    <row r="17" spans="1:3" ht="15">
      <c r="A17" s="30">
        <v>44932</v>
      </c>
      <c r="B17" s="16" t="s">
        <v>153</v>
      </c>
      <c r="C17" s="16">
        <v>150</v>
      </c>
    </row>
    <row r="18" spans="1:3" ht="15">
      <c r="A18" s="30">
        <v>44933</v>
      </c>
      <c r="B18" s="16" t="s">
        <v>154</v>
      </c>
      <c r="C18" s="16">
        <v>80</v>
      </c>
    </row>
    <row r="19" spans="1:3" ht="15">
      <c r="A19" s="30">
        <v>44934</v>
      </c>
      <c r="B19" s="16" t="s">
        <v>155</v>
      </c>
      <c r="C19" s="16">
        <v>20</v>
      </c>
    </row>
    <row r="20" spans="1:3" ht="15">
      <c r="A20" s="30">
        <v>44935</v>
      </c>
      <c r="B20" s="16" t="s">
        <v>156</v>
      </c>
      <c r="C20" s="16">
        <v>30</v>
      </c>
    </row>
    <row r="21" spans="1:3" ht="15">
      <c r="A21" s="30">
        <v>44936</v>
      </c>
      <c r="B21" s="16" t="s">
        <v>157</v>
      </c>
      <c r="C21" s="16">
        <v>20</v>
      </c>
    </row>
    <row r="22" spans="1:3" ht="15">
      <c r="B22" s="16" t="s">
        <v>158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5" zoomScaleNormal="100" workbookViewId="0">
      <selection activeCell="V4" sqref="V4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0" t="s">
        <v>98</v>
      </c>
      <c r="B1" s="39" t="s">
        <v>174</v>
      </c>
    </row>
    <row r="3" spans="1:14" ht="15">
      <c r="B3" s="1" t="s">
        <v>150</v>
      </c>
    </row>
    <row r="4" spans="1:14" ht="18.75">
      <c r="A4" s="41" t="s">
        <v>53</v>
      </c>
      <c r="B4" s="1"/>
      <c r="C4" s="1" t="s">
        <v>182</v>
      </c>
      <c r="G4" s="51" t="s">
        <v>187</v>
      </c>
    </row>
    <row r="5" spans="1:14" ht="18.75">
      <c r="A5" s="41" t="s">
        <v>152</v>
      </c>
      <c r="B5" s="1" t="s">
        <v>183</v>
      </c>
      <c r="C5" s="50"/>
      <c r="J5" s="1" t="s">
        <v>186</v>
      </c>
    </row>
    <row r="6" spans="1:14" ht="15">
      <c r="A6" s="3"/>
      <c r="B6" s="1" t="s">
        <v>184</v>
      </c>
      <c r="C6" s="49"/>
    </row>
    <row r="7" spans="1:14" ht="15">
      <c r="B7" s="1" t="s">
        <v>185</v>
      </c>
    </row>
    <row r="8" spans="1:14" ht="23.25">
      <c r="A8" s="17" t="s">
        <v>161</v>
      </c>
      <c r="B8" s="1"/>
      <c r="M8" s="17" t="s">
        <v>162</v>
      </c>
    </row>
    <row r="9" spans="1:14" ht="15"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K18" s="25"/>
      <c r="M18" s="12">
        <v>10116</v>
      </c>
      <c r="N18" s="12" t="s">
        <v>97</v>
      </c>
    </row>
    <row r="21" spans="1:14" ht="23.25">
      <c r="A21" s="17" t="s">
        <v>167</v>
      </c>
    </row>
    <row r="22" spans="1:14" ht="15">
      <c r="A22" s="13" t="s">
        <v>100</v>
      </c>
      <c r="B22" s="16" t="s">
        <v>101</v>
      </c>
      <c r="C22" s="15" t="s">
        <v>102</v>
      </c>
    </row>
    <row r="23" spans="1:14" ht="15">
      <c r="A23" s="7">
        <v>10100</v>
      </c>
      <c r="B23" s="11">
        <v>10102</v>
      </c>
      <c r="C23" s="42">
        <f>IFERROR(INDEX($A$10:$J$18, MATCH(VLOOKUP(A23, $M$10:$N$18, 2, FALSE), $A$10:$A$18, 0), MATCH(VLOOKUP(B23, $M$10:$N$18, 2, FALSE), $A$9:$J$9, 0)), "N/A")</f>
        <v>95</v>
      </c>
    </row>
    <row r="24" spans="1:14" ht="15">
      <c r="A24" s="7">
        <v>10100</v>
      </c>
      <c r="B24" s="11">
        <v>10104</v>
      </c>
      <c r="C24" s="42">
        <f t="shared" ref="C24:C35" si="0">IFERROR(INDEX($A$10:$J$18, MATCH(VLOOKUP(A24, $M$10:$N$18, 2, FALSE), $A$10:$A$18, 0), MATCH(VLOOKUP(B24, $M$10:$N$18, 2, FALSE), $A$9:$J$9, 0)), "N/A")</f>
        <v>-1</v>
      </c>
    </row>
    <row r="25" spans="1:14" ht="15">
      <c r="A25" s="7">
        <v>10108</v>
      </c>
      <c r="B25" s="11">
        <v>10102</v>
      </c>
      <c r="C25" s="42">
        <f t="shared" si="0"/>
        <v>160</v>
      </c>
    </row>
    <row r="26" spans="1:14" ht="15">
      <c r="A26" s="7">
        <v>10100</v>
      </c>
      <c r="B26" s="11">
        <v>10106</v>
      </c>
      <c r="C26" s="42">
        <f t="shared" si="0"/>
        <v>185</v>
      </c>
    </row>
    <row r="27" spans="1:14" ht="15">
      <c r="A27" s="7">
        <v>10108</v>
      </c>
      <c r="B27" s="11">
        <v>10110</v>
      </c>
      <c r="C27" s="42">
        <f t="shared" si="0"/>
        <v>50</v>
      </c>
    </row>
    <row r="28" spans="1:14" ht="15">
      <c r="A28" s="7">
        <v>10102</v>
      </c>
      <c r="B28" s="11">
        <v>10104</v>
      </c>
      <c r="C28" s="42">
        <f t="shared" si="0"/>
        <v>-1</v>
      </c>
    </row>
    <row r="29" spans="1:14" ht="15">
      <c r="A29" s="7">
        <v>10106</v>
      </c>
      <c r="B29" s="11">
        <v>10108</v>
      </c>
      <c r="C29" s="42">
        <f t="shared" si="0"/>
        <v>70</v>
      </c>
    </row>
    <row r="30" spans="1:14" ht="15">
      <c r="A30" s="7">
        <v>10102</v>
      </c>
      <c r="B30" s="11">
        <v>10106</v>
      </c>
      <c r="C30" s="42">
        <f t="shared" si="0"/>
        <v>90</v>
      </c>
    </row>
    <row r="31" spans="1:14" ht="15">
      <c r="A31" s="7">
        <v>10110</v>
      </c>
      <c r="B31" s="11">
        <v>10114</v>
      </c>
      <c r="C31" s="42">
        <f t="shared" si="0"/>
        <v>180</v>
      </c>
    </row>
    <row r="32" spans="1:14" ht="15">
      <c r="A32" s="7">
        <v>10104</v>
      </c>
      <c r="B32" s="11">
        <v>10106</v>
      </c>
      <c r="C32" s="42">
        <f t="shared" si="0"/>
        <v>60</v>
      </c>
    </row>
    <row r="33" spans="1:3" ht="15">
      <c r="A33" s="7">
        <v>10110</v>
      </c>
      <c r="B33" s="11">
        <v>10112</v>
      </c>
      <c r="C33" s="42">
        <f t="shared" si="0"/>
        <v>115</v>
      </c>
    </row>
    <row r="34" spans="1:3" ht="15">
      <c r="A34" s="7">
        <v>10100</v>
      </c>
      <c r="B34" s="11">
        <v>10114</v>
      </c>
      <c r="C34" s="42">
        <f t="shared" si="0"/>
        <v>480</v>
      </c>
    </row>
    <row r="35" spans="1:3" ht="15">
      <c r="A35" s="8">
        <v>10112</v>
      </c>
      <c r="B35" s="12">
        <v>10116</v>
      </c>
      <c r="C35" s="48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2024-10-22T15:51:35Z</dcterms:modified>
</cp:coreProperties>
</file>